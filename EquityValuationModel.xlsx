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Projection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Com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00"/>
    <numFmt numFmtId="167" formatCode="$#,##0.00"/>
    <numFmt numFmtId="168" formatCode="0.0x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8"/>
    </font>
    <font>
      <name val="Arial"/>
      <b val="1"/>
      <color rgb="000D1B2A"/>
      <sz val="9"/>
    </font>
    <font>
      <name val="Arial"/>
      <color rgb="00000000"/>
      <sz val="9"/>
    </font>
    <font>
      <name val="Arial"/>
      <color rgb="000000FF"/>
      <sz val="9"/>
    </font>
    <font>
      <name val="Arial"/>
      <i val="1"/>
      <color rgb="00888888"/>
      <sz val="8"/>
    </font>
    <font>
      <name val="Arial"/>
      <color rgb="00008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0D1B2A"/>
      <sz val="11"/>
    </font>
    <font>
      <name val="Arial"/>
      <b val="1"/>
      <color rgb="000D1B2A"/>
      <sz val="10"/>
    </font>
    <font>
      <name val="Arial"/>
      <b val="1"/>
      <color rgb="00FFFFFF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5F7FA"/>
      </patternFill>
    </fill>
    <fill>
      <patternFill patternType="solid">
        <fgColor rgb="001E6FBF"/>
      </patternFill>
    </fill>
    <fill>
      <patternFill patternType="solid">
        <fgColor rgb="00F0A5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0" borderId="0" pivotButton="0" quotePrefix="0" xfId="0"/>
    <xf numFmtId="165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11" fillId="3" borderId="0" pivotButton="0" quotePrefix="0" xfId="0"/>
    <xf numFmtId="0" fontId="4" fillId="0" borderId="0" pivotButton="0" quotePrefix="0" xfId="0"/>
    <xf numFmtId="164" fontId="4" fillId="0" borderId="1" pivotButton="0" quotePrefix="0" xfId="0"/>
    <xf numFmtId="10" fontId="10" fillId="0" borderId="1" pivotButton="0" quotePrefix="0" xfId="0"/>
    <xf numFmtId="165" fontId="7" fillId="0" borderId="1" applyAlignment="1" pivotButton="0" quotePrefix="0" xfId="0">
      <alignment horizontal="right" vertical="center"/>
    </xf>
    <xf numFmtId="0" fontId="10" fillId="0" borderId="1" pivotButton="0" quotePrefix="0" xfId="0"/>
    <xf numFmtId="166" fontId="4" fillId="0" borderId="1" applyAlignment="1" pivotButton="0" quotePrefix="0" xfId="0">
      <alignment horizontal="right" vertical="center"/>
    </xf>
    <xf numFmtId="0" fontId="10" fillId="3" borderId="1" pivotButton="0" quotePrefix="0" xfId="0"/>
    <xf numFmtId="165" fontId="10" fillId="3" borderId="1" applyAlignment="1" pivotButton="0" quotePrefix="0" xfId="0">
      <alignment horizontal="right" vertical="center"/>
    </xf>
    <xf numFmtId="167" fontId="10" fillId="3" borderId="1" applyAlignment="1" pivotButton="0" quotePrefix="0" xfId="0">
      <alignment horizontal="right" vertical="center"/>
    </xf>
    <xf numFmtId="0" fontId="12" fillId="0" borderId="0" pivotButton="0" quotePrefix="0" xfId="0"/>
    <xf numFmtId="0" fontId="9" fillId="4" borderId="0" pivotButton="0" quotePrefix="0" xfId="0"/>
    <xf numFmtId="164" fontId="9" fillId="4" borderId="0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3" fontId="13" fillId="5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0" fontId="14" fillId="0" borderId="0" pivotButton="0" quotePrefix="0" xfId="0"/>
    <xf numFmtId="168" fontId="1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6" customWidth="1" min="3" max="3"/>
  </cols>
  <sheetData>
    <row r="1" ht="36" customHeight="1">
      <c r="A1" s="1" t="inlineStr">
        <is>
          <t>EQUITY VALUATION MODEL — ASSUMPTIONS</t>
        </is>
      </c>
    </row>
    <row r="2">
      <c r="A2" s="2" t="inlineStr">
        <is>
          <t>Color Code: Blue = Input  |  Black = Formula  |  Green = Cross-sheet link</t>
        </is>
      </c>
    </row>
    <row r="4" ht="18" customHeight="1">
      <c r="A4" s="3" t="inlineStr">
        <is>
          <t>COMPANY INFORMATION</t>
        </is>
      </c>
    </row>
    <row r="5" ht="18" customHeight="1">
      <c r="A5" s="4" t="inlineStr">
        <is>
          <t>Company Name</t>
        </is>
      </c>
      <c r="B5" s="5" t="inlineStr">
        <is>
          <t>DEMO Corp.</t>
        </is>
      </c>
      <c r="C5" s="6" t="inlineStr">
        <is>
          <t>Enter full company name</t>
        </is>
      </c>
    </row>
    <row r="6" ht="18" customHeight="1">
      <c r="A6" s="4" t="inlineStr">
        <is>
          <t>Ticker Symbol</t>
        </is>
      </c>
      <c r="B6" s="5" t="inlineStr">
        <is>
          <t>DEMO</t>
        </is>
      </c>
      <c r="C6" s="6" t="inlineStr">
        <is>
          <t>Exchange:Ticker</t>
        </is>
      </c>
    </row>
    <row r="7" ht="18" customHeight="1">
      <c r="A7" s="4" t="inlineStr">
        <is>
          <t>Reporting Currency</t>
        </is>
      </c>
      <c r="B7" s="5" t="inlineStr">
        <is>
          <t>USD ($M)</t>
        </is>
      </c>
      <c r="C7" s="6" t="inlineStr">
        <is>
          <t>All figures in $M unless noted</t>
        </is>
      </c>
    </row>
    <row r="8" ht="18" customHeight="1">
      <c r="A8" s="4" t="inlineStr">
        <is>
          <t>Valuation Date</t>
        </is>
      </c>
      <c r="B8" s="5" t="inlineStr">
        <is>
          <t>2024-12-31</t>
        </is>
      </c>
      <c r="C8" s="6" t="inlineStr">
        <is>
          <t>YYYY-MM-DD</t>
        </is>
      </c>
    </row>
    <row r="10" ht="18" customHeight="1">
      <c r="A10" s="3" t="inlineStr">
        <is>
          <t>CAPITAL STRUCTURE (WACC INPUTS)</t>
        </is>
      </c>
    </row>
    <row r="11" ht="18" customHeight="1">
      <c r="A11" s="4" t="inlineStr">
        <is>
          <t>Risk-Free Rate (10Y Treasury)</t>
        </is>
      </c>
      <c r="B11" s="7" t="n">
        <v>0.04</v>
      </c>
      <c r="C11" s="6" t="inlineStr">
        <is>
          <t>Source: US Treasury</t>
        </is>
      </c>
    </row>
    <row r="12" ht="18" customHeight="1">
      <c r="A12" s="4" t="inlineStr">
        <is>
          <t>Equity Risk Premium</t>
        </is>
      </c>
      <c r="B12" s="7" t="n">
        <v>0.055</v>
      </c>
      <c r="C12" s="6" t="inlineStr">
        <is>
          <t>Source: Damodaran (2024)</t>
        </is>
      </c>
    </row>
    <row r="13" ht="18" customHeight="1">
      <c r="A13" s="4" t="inlineStr">
        <is>
          <t>Levered Beta</t>
        </is>
      </c>
      <c r="B13" s="8" t="n">
        <v>1.15</v>
      </c>
      <c r="C13" s="6" t="inlineStr">
        <is>
          <t>Source: Bloomberg LTM</t>
        </is>
      </c>
    </row>
    <row r="14" ht="18" customHeight="1">
      <c r="A14" s="4" t="inlineStr">
        <is>
          <t>Pre-Tax Cost of Debt</t>
        </is>
      </c>
      <c r="B14" s="7" t="n">
        <v>0.045</v>
      </c>
      <c r="C14" s="6" t="inlineStr">
        <is>
          <t>YTM of LT debt</t>
        </is>
      </c>
    </row>
    <row r="15" ht="18" customHeight="1">
      <c r="A15" s="4" t="inlineStr">
        <is>
          <t>Effective Tax Rate</t>
        </is>
      </c>
      <c r="B15" s="7" t="n">
        <v>0.21</v>
      </c>
      <c r="C15" s="6" t="inlineStr">
        <is>
          <t>Blended effective rate</t>
        </is>
      </c>
    </row>
    <row r="16" ht="18" customHeight="1">
      <c r="A16" s="4" t="inlineStr">
        <is>
          <t>Debt Weight (D/V)</t>
        </is>
      </c>
      <c r="B16" s="7" t="n">
        <v>0.25</v>
      </c>
      <c r="C16" s="6" t="inlineStr">
        <is>
          <t>Market value weights</t>
        </is>
      </c>
    </row>
    <row r="17" ht="18" customHeight="1">
      <c r="A17" s="4" t="inlineStr">
        <is>
          <t>Equity Weight (E/V)</t>
        </is>
      </c>
      <c r="B17" s="9">
        <f>1-B16</f>
        <v/>
      </c>
      <c r="C17" s="6" t="inlineStr">
        <is>
          <t>Auto-calculated</t>
        </is>
      </c>
    </row>
    <row r="18" ht="18" customHeight="1">
      <c r="A18" s="4" t="inlineStr">
        <is>
          <t>Size Premium</t>
        </is>
      </c>
      <c r="B18" s="7" t="n">
        <v>0.01</v>
      </c>
      <c r="C18" s="6" t="inlineStr">
        <is>
          <t>Duff &amp; Phelps</t>
        </is>
      </c>
    </row>
    <row r="19" ht="18" customHeight="1">
      <c r="A19" s="4" t="inlineStr">
        <is>
          <t>Specific Risk Premium</t>
        </is>
      </c>
      <c r="B19" s="7" t="n">
        <v>0</v>
      </c>
      <c r="C19" s="6" t="inlineStr">
        <is>
          <t>Company-specific adj.</t>
        </is>
      </c>
    </row>
    <row r="21" ht="18" customHeight="1">
      <c r="A21" s="3" t="inlineStr">
        <is>
          <t>DCF ASSUMPTIONS</t>
        </is>
      </c>
    </row>
    <row r="22" ht="18" customHeight="1">
      <c r="A22" s="4" t="inlineStr">
        <is>
          <t>Projection Horizon (Years)</t>
        </is>
      </c>
      <c r="B22" s="8" t="n">
        <v>5</v>
      </c>
      <c r="C22" s="6" t="inlineStr"/>
    </row>
    <row r="23" ht="18" customHeight="1">
      <c r="A23" s="4" t="inlineStr">
        <is>
          <t>LTM Revenue ($M)</t>
        </is>
      </c>
      <c r="B23" s="8" t="n">
        <v>12600</v>
      </c>
      <c r="C23" s="6" t="inlineStr">
        <is>
          <t>Most recent 12 months</t>
        </is>
      </c>
    </row>
    <row r="24" ht="18" customHeight="1">
      <c r="A24" s="4" t="inlineStr">
        <is>
          <t>Terminal Growth Rate (g)</t>
        </is>
      </c>
      <c r="B24" s="7" t="n">
        <v>0.025</v>
      </c>
      <c r="C24" s="6" t="inlineStr">
        <is>
          <t>Long-run nominal growth</t>
        </is>
      </c>
    </row>
    <row r="25" ht="18" customHeight="1">
      <c r="A25" s="4" t="inlineStr">
        <is>
          <t>Exit Multiple (EV/EBITDA)</t>
        </is>
      </c>
      <c r="B25" s="8" t="n">
        <v>12</v>
      </c>
      <c r="C25" s="6" t="inlineStr">
        <is>
          <t>Alt. TV method</t>
        </is>
      </c>
    </row>
    <row r="26" ht="18" customHeight="1">
      <c r="A26" s="4" t="inlineStr">
        <is>
          <t>Terminal Value Method</t>
        </is>
      </c>
      <c r="B26" s="5" t="inlineStr">
        <is>
          <t>Gordon Growth</t>
        </is>
      </c>
      <c r="C26" s="6" t="inlineStr">
        <is>
          <t>Gordon Growth or Exit Multiple</t>
        </is>
      </c>
    </row>
    <row r="28" ht="18" customHeight="1">
      <c r="A28" s="3" t="inlineStr">
        <is>
          <t>FCF DRIVER ASSUMPTIONS</t>
        </is>
      </c>
    </row>
    <row r="29" ht="18" customHeight="1">
      <c r="A29" s="4" t="inlineStr">
        <is>
          <t>Revenue Growth — Year 1</t>
        </is>
      </c>
      <c r="B29" s="7" t="n">
        <v>0.12</v>
      </c>
      <c r="C29" s="6" t="inlineStr"/>
    </row>
    <row r="30" ht="18" customHeight="1">
      <c r="A30" s="4" t="inlineStr">
        <is>
          <t>Revenue Growth — Year 2</t>
        </is>
      </c>
      <c r="B30" s="7" t="n">
        <v>0.1</v>
      </c>
      <c r="C30" s="6" t="inlineStr"/>
    </row>
    <row r="31" ht="18" customHeight="1">
      <c r="A31" s="4" t="inlineStr">
        <is>
          <t>Revenue Growth — Year 3</t>
        </is>
      </c>
      <c r="B31" s="7" t="n">
        <v>0.09</v>
      </c>
      <c r="C31" s="6" t="inlineStr"/>
    </row>
    <row r="32" ht="18" customHeight="1">
      <c r="A32" s="4" t="inlineStr">
        <is>
          <t>Revenue Growth — Year 4</t>
        </is>
      </c>
      <c r="B32" s="7" t="n">
        <v>0.08</v>
      </c>
      <c r="C32" s="6" t="inlineStr"/>
    </row>
    <row r="33" ht="18" customHeight="1">
      <c r="A33" s="4" t="inlineStr">
        <is>
          <t>Revenue Growth — Year 5</t>
        </is>
      </c>
      <c r="B33" s="7" t="n">
        <v>0.07000000000000001</v>
      </c>
      <c r="C33" s="6" t="inlineStr"/>
    </row>
    <row r="34" ht="18" customHeight="1">
      <c r="A34" s="4" t="inlineStr">
        <is>
          <t>EBITDA Margin (stable)</t>
        </is>
      </c>
      <c r="B34" s="7" t="n">
        <v>0.27</v>
      </c>
      <c r="C34" s="6" t="inlineStr">
        <is>
          <t>% of Revenue</t>
        </is>
      </c>
    </row>
    <row r="35" ht="18" customHeight="1">
      <c r="A35" s="4" t="inlineStr">
        <is>
          <t>D&amp;A (% of Revenue)</t>
        </is>
      </c>
      <c r="B35" s="7" t="n">
        <v>0.05</v>
      </c>
      <c r="C35" s="6" t="inlineStr"/>
    </row>
    <row r="36" ht="18" customHeight="1">
      <c r="A36" s="4" t="inlineStr">
        <is>
          <t>CapEx (% of Revenue)</t>
        </is>
      </c>
      <c r="B36" s="7" t="n">
        <v>0.06</v>
      </c>
      <c r="C36" s="6" t="inlineStr"/>
    </row>
    <row r="37" ht="18" customHeight="1">
      <c r="A37" s="4" t="inlineStr">
        <is>
          <t>Δ NWC (% of Revenue Δ)</t>
        </is>
      </c>
      <c r="B37" s="7" t="n">
        <v>0.015</v>
      </c>
      <c r="C37" s="6" t="inlineStr"/>
    </row>
    <row r="39" ht="18" customHeight="1">
      <c r="A39" s="3" t="inlineStr">
        <is>
          <t>BALANCE SHEET (LTM)</t>
        </is>
      </c>
    </row>
    <row r="40" ht="18" customHeight="1">
      <c r="A40" s="4" t="inlineStr">
        <is>
          <t>Total Debt ($M)</t>
        </is>
      </c>
      <c r="B40" s="8" t="n">
        <v>4200</v>
      </c>
      <c r="C40" s="6" t="inlineStr">
        <is>
          <t>Gross financial debt</t>
        </is>
      </c>
    </row>
    <row r="41" ht="18" customHeight="1">
      <c r="A41" s="4" t="inlineStr">
        <is>
          <t>Cash &amp; Equivalents ($M)</t>
        </is>
      </c>
      <c r="B41" s="8" t="n">
        <v>2100</v>
      </c>
      <c r="C41" s="6" t="inlineStr"/>
    </row>
    <row r="42" ht="18" customHeight="1">
      <c r="A42" s="4" t="inlineStr">
        <is>
          <t>Net Debt ($M)</t>
        </is>
      </c>
      <c r="B42" s="9">
        <f>B40-B41</f>
        <v/>
      </c>
      <c r="C42" s="6" t="inlineStr">
        <is>
          <t>Auto-calculated</t>
        </is>
      </c>
    </row>
    <row r="43" ht="18" customHeight="1">
      <c r="A43" s="4" t="inlineStr">
        <is>
          <t>Shares Outstanding (M)</t>
        </is>
      </c>
      <c r="B43" s="8" t="n">
        <v>500</v>
      </c>
      <c r="C43" s="6" t="inlineStr">
        <is>
          <t>Fully diluted</t>
        </is>
      </c>
    </row>
  </sheetData>
  <mergeCells count="6">
    <mergeCell ref="A10:C10"/>
    <mergeCell ref="A28:C28"/>
    <mergeCell ref="A1:C1"/>
    <mergeCell ref="A21:C21"/>
    <mergeCell ref="A39:C39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6FBF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2" customHeight="1">
      <c r="A1" s="10" t="inlineStr">
        <is>
          <t>INCOME STATEMENT PROJECTION</t>
        </is>
      </c>
    </row>
    <row r="3">
      <c r="A3" s="11" t="inlineStr"/>
      <c r="B3" s="11" t="inlineStr">
        <is>
          <t>Year 1</t>
        </is>
      </c>
      <c r="C3" s="11" t="inlineStr">
        <is>
          <t>Year 2</t>
        </is>
      </c>
      <c r="D3" s="11" t="inlineStr">
        <is>
          <t>Year 3</t>
        </is>
      </c>
      <c r="E3" s="11" t="inlineStr">
        <is>
          <t>Year 4</t>
        </is>
      </c>
      <c r="F3" s="11" t="inlineStr">
        <is>
          <t>Year 5</t>
        </is>
      </c>
    </row>
    <row r="4">
      <c r="B4" s="12" t="inlineStr">
        <is>
          <t>FY+1</t>
        </is>
      </c>
      <c r="C4" s="12" t="inlineStr">
        <is>
          <t>FY+2</t>
        </is>
      </c>
      <c r="D4" s="12" t="inlineStr">
        <is>
          <t>FY+3</t>
        </is>
      </c>
      <c r="E4" s="12" t="inlineStr">
        <is>
          <t>FY+4</t>
        </is>
      </c>
      <c r="F4" s="12" t="inlineStr">
        <is>
          <t>FY+5</t>
        </is>
      </c>
    </row>
    <row r="6">
      <c r="A6" s="4" t="inlineStr">
        <is>
          <t>Revenue ($M)</t>
        </is>
      </c>
      <c r="B6" s="13">
        <f>Assumptions!B23*(1+Assumptions!B29)</f>
        <v/>
      </c>
      <c r="C6" s="13">
        <f>B6*(1+Assumptions!B30)</f>
        <v/>
      </c>
      <c r="D6" s="13">
        <f>C6*(1+Assumptions!B31)</f>
        <v/>
      </c>
      <c r="E6" s="13">
        <f>D6*(1+Assumptions!B32)</f>
        <v/>
      </c>
      <c r="F6" s="13">
        <f>E6*(1+Assumptions!B33)</f>
        <v/>
      </c>
    </row>
    <row r="7">
      <c r="A7" s="4" t="inlineStr">
        <is>
          <t>Revenue Growth</t>
        </is>
      </c>
      <c r="B7" s="14">
        <f>Assumptions!B29</f>
        <v/>
      </c>
      <c r="C7" s="14">
        <f>C6/B6-1</f>
        <v/>
      </c>
      <c r="D7" s="14">
        <f>D6/C6-1</f>
        <v/>
      </c>
      <c r="E7" s="14">
        <f>E6/D6-1</f>
        <v/>
      </c>
      <c r="F7" s="14">
        <f>F6/E6-1</f>
        <v/>
      </c>
    </row>
    <row r="8">
      <c r="A8" s="4" t="inlineStr">
        <is>
          <t>EBITDA ($M)</t>
        </is>
      </c>
      <c r="B8" s="13">
        <f>B6*Assumptions!B34</f>
        <v/>
      </c>
      <c r="C8" s="13">
        <f>C6*Assumptions!B34</f>
        <v/>
      </c>
      <c r="D8" s="13">
        <f>D6*Assumptions!B34</f>
        <v/>
      </c>
      <c r="E8" s="13">
        <f>E6*Assumptions!B34</f>
        <v/>
      </c>
      <c r="F8" s="13">
        <f>F6*Assumptions!B34</f>
        <v/>
      </c>
    </row>
    <row r="9">
      <c r="A9" s="4" t="inlineStr">
        <is>
          <t>EBITDA Margin</t>
        </is>
      </c>
      <c r="B9" s="14">
        <f>B8/B6</f>
        <v/>
      </c>
      <c r="C9" s="14">
        <f>C8/C6</f>
        <v/>
      </c>
      <c r="D9" s="14">
        <f>D8/D6</f>
        <v/>
      </c>
      <c r="E9" s="14">
        <f>E8/E6</f>
        <v/>
      </c>
      <c r="F9" s="14">
        <f>F8/F6</f>
        <v/>
      </c>
    </row>
    <row r="10">
      <c r="A10" s="4" t="inlineStr">
        <is>
          <t>D&amp;A ($M)</t>
        </is>
      </c>
      <c r="B10" s="13">
        <f>B6*Assumptions!B35</f>
        <v/>
      </c>
      <c r="C10" s="13">
        <f>C6*Assumptions!B35</f>
        <v/>
      </c>
      <c r="D10" s="13">
        <f>D6*Assumptions!B35</f>
        <v/>
      </c>
      <c r="E10" s="13">
        <f>E6*Assumptions!B35</f>
        <v/>
      </c>
      <c r="F10" s="13">
        <f>F6*Assumptions!B35</f>
        <v/>
      </c>
    </row>
    <row r="11">
      <c r="A11" s="4" t="inlineStr">
        <is>
          <t>EBIT ($M)</t>
        </is>
      </c>
      <c r="B11" s="13">
        <f>B8-B10</f>
        <v/>
      </c>
      <c r="C11" s="13">
        <f>C8-C10</f>
        <v/>
      </c>
      <c r="D11" s="13">
        <f>D8-D10</f>
        <v/>
      </c>
      <c r="E11" s="13">
        <f>E8-E10</f>
        <v/>
      </c>
      <c r="F11" s="13">
        <f>F8-F10</f>
        <v/>
      </c>
    </row>
    <row r="12">
      <c r="A12" s="4" t="inlineStr">
        <is>
          <t>NOPAT = EBIT × (1-T)</t>
        </is>
      </c>
      <c r="B12" s="13">
        <f>B12*(1-Assumptions!B15)</f>
        <v/>
      </c>
      <c r="C12" s="13">
        <f>C12*(1-Assumptions!B15)</f>
        <v/>
      </c>
      <c r="D12" s="13">
        <f>D12*(1-Assumptions!B15)</f>
        <v/>
      </c>
      <c r="E12" s="13">
        <f>E12*(1-Assumptions!B15)</f>
        <v/>
      </c>
      <c r="F12" s="13">
        <f>F12*(1-Assumptions!B15)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6FBF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0" t="inlineStr">
        <is>
          <t>DCF VALUATION — FREE CASH FLOW &amp; ENTERPRISE VALUE</t>
        </is>
      </c>
    </row>
    <row r="3">
      <c r="A3" s="15" t="inlineStr">
        <is>
          <t>WACC Calculation</t>
        </is>
      </c>
    </row>
    <row r="4">
      <c r="A4" s="16" t="inlineStr">
        <is>
          <t>Cost of Equity (CAPM)</t>
        </is>
      </c>
      <c r="B4" s="17">
        <f>Assumptions!B11+Assumptions!B13*Assumptions!B12+Assumptions!B18+Assumptions!B19</f>
        <v/>
      </c>
    </row>
    <row r="5">
      <c r="A5" s="16" t="inlineStr">
        <is>
          <t>After-Tax Cost of Debt</t>
        </is>
      </c>
      <c r="B5" s="17">
        <f>Assumptions!B14*(1-Assumptions!B15)</f>
        <v/>
      </c>
    </row>
    <row r="6">
      <c r="A6" s="16" t="inlineStr">
        <is>
          <t>WACC</t>
        </is>
      </c>
      <c r="B6" s="18">
        <f>B4*Assumptions!B17+B5*Assumptions!B16</f>
        <v/>
      </c>
    </row>
    <row r="8">
      <c r="A8" s="15" t="inlineStr">
        <is>
          <t>Free Cash Flow Bridge</t>
        </is>
      </c>
    </row>
    <row r="9">
      <c r="A9" s="11" t="inlineStr"/>
      <c r="B9" s="11" t="inlineStr">
        <is>
          <t>Year 1</t>
        </is>
      </c>
      <c r="C9" s="11" t="inlineStr">
        <is>
          <t>Year 2</t>
        </is>
      </c>
      <c r="D9" s="11" t="inlineStr">
        <is>
          <t>Year 3</t>
        </is>
      </c>
      <c r="E9" s="11" t="inlineStr">
        <is>
          <t>Year 4</t>
        </is>
      </c>
      <c r="F9" s="11" t="inlineStr">
        <is>
          <t>Year 5</t>
        </is>
      </c>
    </row>
    <row r="10">
      <c r="A10" s="4" t="inlineStr">
        <is>
          <t>NOPAT ($M)</t>
        </is>
      </c>
      <c r="B10" s="19">
        <f>'Income Projection'!B13</f>
        <v/>
      </c>
      <c r="C10" s="19">
        <f>'Income Projection'!C13</f>
        <v/>
      </c>
      <c r="D10" s="19">
        <f>'Income Projection'!D13</f>
        <v/>
      </c>
      <c r="E10" s="19">
        <f>'Income Projection'!E13</f>
        <v/>
      </c>
      <c r="F10" s="19">
        <f>'Income Projection'!F13</f>
        <v/>
      </c>
    </row>
    <row r="11">
      <c r="A11" s="4" t="inlineStr">
        <is>
          <t>+ D&amp;A ($M)</t>
        </is>
      </c>
      <c r="B11" s="19">
        <f>'Income Projection'!B10</f>
        <v/>
      </c>
      <c r="C11" s="19">
        <f>'Income Projection'!C10</f>
        <v/>
      </c>
      <c r="D11" s="19">
        <f>'Income Projection'!D10</f>
        <v/>
      </c>
      <c r="E11" s="19">
        <f>'Income Projection'!E10</f>
        <v/>
      </c>
      <c r="F11" s="19">
        <f>'Income Projection'!F10</f>
        <v/>
      </c>
    </row>
    <row r="12">
      <c r="A12" s="4" t="inlineStr">
        <is>
          <t>- CapEx ($M)</t>
        </is>
      </c>
      <c r="B12" s="19">
        <f>-'Income Projection'!B6*Assumptions!B36</f>
        <v/>
      </c>
      <c r="C12" s="19">
        <f>-'Income Projection'!C6*Assumptions!B36</f>
        <v/>
      </c>
      <c r="D12" s="19">
        <f>-'Income Projection'!D6*Assumptions!B36</f>
        <v/>
      </c>
      <c r="E12" s="19">
        <f>-'Income Projection'!E6*Assumptions!B36</f>
        <v/>
      </c>
      <c r="F12" s="19">
        <f>-'Income Projection'!F6*Assumptions!B36</f>
        <v/>
      </c>
    </row>
    <row r="13">
      <c r="A13" s="4" t="inlineStr">
        <is>
          <t>- Δ NWC ($M)</t>
        </is>
      </c>
      <c r="B13" s="19">
        <f>-('Income Projection'!B6-Assumptions!B23)*Assumptions!B37</f>
        <v/>
      </c>
      <c r="C13" s="19">
        <f>-('Income Projection'!C6-'Income Projection'!B6)*Assumptions!B37</f>
        <v/>
      </c>
      <c r="D13" s="19">
        <f>-('Income Projection'!D6-'Income Projection'!C6)*Assumptions!B37</f>
        <v/>
      </c>
      <c r="E13" s="19">
        <f>-('Income Projection'!E6-'Income Projection'!D6)*Assumptions!B37</f>
        <v/>
      </c>
      <c r="F13" s="19">
        <f>-('Income Projection'!F6-'Income Projection'!E6)*Assumptions!B37</f>
        <v/>
      </c>
    </row>
    <row r="14">
      <c r="A14" s="20">
        <f> Free Cash Flow ($M)</f>
        <v/>
      </c>
      <c r="B14" s="13">
        <f>B10+B11+B12+B13</f>
        <v/>
      </c>
      <c r="C14" s="13">
        <f>C10+C11+C12+C13</f>
        <v/>
      </c>
      <c r="D14" s="13">
        <f>D10+D11+D12+D13</f>
        <v/>
      </c>
      <c r="E14" s="13">
        <f>E10+E11+E12+E13</f>
        <v/>
      </c>
      <c r="F14" s="13">
        <f>F10+F11+F12+F13</f>
        <v/>
      </c>
    </row>
    <row r="15">
      <c r="A15" s="4" t="inlineStr">
        <is>
          <t>Discount Factor</t>
        </is>
      </c>
      <c r="B15" s="21">
        <f>1/(1+$B$6)^1</f>
        <v/>
      </c>
      <c r="C15" s="21">
        <f>1/(1+$B$6)^2</f>
        <v/>
      </c>
      <c r="D15" s="21">
        <f>1/(1+$B$6)^3</f>
        <v/>
      </c>
      <c r="E15" s="21">
        <f>1/(1+$B$6)^4</f>
        <v/>
      </c>
      <c r="F15" s="21">
        <f>1/(1+$B$6)^5</f>
        <v/>
      </c>
    </row>
    <row r="16">
      <c r="A16" s="4" t="inlineStr">
        <is>
          <t>PV of FCF ($M)</t>
        </is>
      </c>
      <c r="B16" s="13">
        <f>B14*B15</f>
        <v/>
      </c>
      <c r="C16" s="13">
        <f>C14*C15</f>
        <v/>
      </c>
      <c r="D16" s="13">
        <f>D14*D15</f>
        <v/>
      </c>
      <c r="E16" s="13">
        <f>E14*E15</f>
        <v/>
      </c>
      <c r="F16" s="13">
        <f>F14*F15</f>
        <v/>
      </c>
    </row>
    <row r="19">
      <c r="A19" s="15" t="inlineStr">
        <is>
          <t>Enterprise Value Bridge</t>
        </is>
      </c>
    </row>
    <row r="20">
      <c r="A20" s="4" t="inlineStr">
        <is>
          <t>Sum of PV(FCFs) ($M)</t>
        </is>
      </c>
      <c r="B20" s="13">
        <f>SUM(B16:F16)</f>
        <v/>
      </c>
    </row>
    <row r="21">
      <c r="A21" s="4" t="inlineStr">
        <is>
          <t>Terminal Value ($M)</t>
        </is>
      </c>
      <c r="B21" s="13">
        <f>'Income Projection'!F8/(DCF!B6-Assumptions!B24)*(1+Assumptions!B24)</f>
        <v/>
      </c>
    </row>
    <row r="22">
      <c r="A22" s="4" t="inlineStr">
        <is>
          <t>PV(Terminal Value) ($M)</t>
        </is>
      </c>
      <c r="B22" s="13">
        <f>B21/(1+B6)^5</f>
        <v/>
      </c>
    </row>
    <row r="23">
      <c r="A23" s="22" t="inlineStr">
        <is>
          <t>Enterprise Value ($M)</t>
        </is>
      </c>
      <c r="B23" s="23">
        <f>B20+B22</f>
        <v/>
      </c>
    </row>
    <row r="24">
      <c r="A24" s="4" t="inlineStr">
        <is>
          <t>(-) Net Debt ($M)</t>
        </is>
      </c>
      <c r="B24" s="13">
        <f>Assumptions!B42</f>
        <v/>
      </c>
    </row>
    <row r="25">
      <c r="A25" s="22" t="inlineStr">
        <is>
          <t>Equity Value ($M)</t>
        </is>
      </c>
      <c r="B25" s="23">
        <f>B23-B24</f>
        <v/>
      </c>
    </row>
    <row r="26">
      <c r="A26" s="4" t="inlineStr">
        <is>
          <t>Shares Outstanding (M)</t>
        </is>
      </c>
      <c r="B26" s="13">
        <f>Assumptions!B43</f>
        <v/>
      </c>
    </row>
    <row r="27">
      <c r="A27" s="22" t="inlineStr">
        <is>
          <t>Intrinsic Value per Share</t>
        </is>
      </c>
      <c r="B27" s="24">
        <f>B25/B26</f>
        <v/>
      </c>
    </row>
    <row r="28">
      <c r="A28" s="4" t="inlineStr">
        <is>
          <t>TV as % of EV</t>
        </is>
      </c>
      <c r="B28" s="14">
        <f>B22/B23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2" customHeight="1">
      <c r="A1" s="10" t="inlineStr">
        <is>
          <t>SENSITIVITY ANALYSIS — EQUITY VALUE ($M)</t>
        </is>
      </c>
    </row>
    <row r="3">
      <c r="A3" s="25" t="inlineStr">
        <is>
          <t>Equity Value by WACC × Terminal Growth Rate</t>
        </is>
      </c>
    </row>
    <row r="4">
      <c r="A4" s="26" t="inlineStr">
        <is>
          <t>WACC \ g</t>
        </is>
      </c>
      <c r="B4" s="27" t="n">
        <v>0.015</v>
      </c>
      <c r="C4" s="27" t="n">
        <v>0.02</v>
      </c>
      <c r="D4" s="27" t="n">
        <v>0.025</v>
      </c>
      <c r="E4" s="27" t="n">
        <v>0.03</v>
      </c>
      <c r="F4" s="27" t="n">
        <v>0.035</v>
      </c>
    </row>
    <row r="5">
      <c r="A5" s="27" t="n">
        <v>0.07000000000000001</v>
      </c>
      <c r="B5" s="28">
        <f>DCF!B20 + 'Income Projection'!F8*(1+0.015)/(0.07-0.015)/(1+0.07)^5 -Assumptions!B42</f>
        <v/>
      </c>
      <c r="C5" s="28">
        <f>DCF!B20 + 'Income Projection'!F8*(1+0.02)/(0.07-0.02)/(1+0.07)^5 -Assumptions!B42</f>
        <v/>
      </c>
      <c r="D5" s="28">
        <f>DCF!B20 + 'Income Projection'!F8*(1+0.025)/(0.07-0.025)/(1+0.07)^5 -Assumptions!B42</f>
        <v/>
      </c>
      <c r="E5" s="28">
        <f>DCF!B20 + 'Income Projection'!F8*(1+0.03)/(0.07-0.03)/(1+0.07)^5 -Assumptions!B42</f>
        <v/>
      </c>
      <c r="F5" s="28">
        <f>DCF!B20 + 'Income Projection'!F8*(1+0.035)/(0.07-0.035)/(1+0.07)^5 -Assumptions!B42</f>
        <v/>
      </c>
    </row>
    <row r="6">
      <c r="A6" s="27" t="n">
        <v>0.075</v>
      </c>
      <c r="B6" s="28">
        <f>DCF!B20 + 'Income Projection'!F8*(1+0.015)/(0.075-0.015)/(1+0.075)^5 -Assumptions!B42</f>
        <v/>
      </c>
      <c r="C6" s="28">
        <f>DCF!B20 + 'Income Projection'!F8*(1+0.02)/(0.075-0.02)/(1+0.075)^5 -Assumptions!B42</f>
        <v/>
      </c>
      <c r="D6" s="28">
        <f>DCF!B20 + 'Income Projection'!F8*(1+0.025)/(0.075-0.025)/(1+0.075)^5 -Assumptions!B42</f>
        <v/>
      </c>
      <c r="E6" s="28">
        <f>DCF!B20 + 'Income Projection'!F8*(1+0.03)/(0.075-0.03)/(1+0.075)^5 -Assumptions!B42</f>
        <v/>
      </c>
      <c r="F6" s="28">
        <f>DCF!B20 + 'Income Projection'!F8*(1+0.035)/(0.075-0.035)/(1+0.075)^5 -Assumptions!B42</f>
        <v/>
      </c>
    </row>
    <row r="7">
      <c r="A7" s="27" t="n">
        <v>0.08</v>
      </c>
      <c r="B7" s="28">
        <f>DCF!B20 + 'Income Projection'!F8*(1+0.015)/(0.08-0.015)/(1+0.08)^5 -Assumptions!B42</f>
        <v/>
      </c>
      <c r="C7" s="28">
        <f>DCF!B20 + 'Income Projection'!F8*(1+0.02)/(0.08-0.02)/(1+0.08)^5 -Assumptions!B42</f>
        <v/>
      </c>
      <c r="D7" s="28">
        <f>DCF!B20 + 'Income Projection'!F8*(1+0.025)/(0.08-0.025)/(1+0.08)^5 -Assumptions!B42</f>
        <v/>
      </c>
      <c r="E7" s="28">
        <f>DCF!B20 + 'Income Projection'!F8*(1+0.03)/(0.08-0.03)/(1+0.08)^5 -Assumptions!B42</f>
        <v/>
      </c>
      <c r="F7" s="28">
        <f>DCF!B20 + 'Income Projection'!F8*(1+0.035)/(0.08-0.035)/(1+0.08)^5 -Assumptions!B42</f>
        <v/>
      </c>
    </row>
    <row r="8">
      <c r="A8" s="27" t="n">
        <v>0.08500000000000001</v>
      </c>
      <c r="B8" s="28">
        <f>DCF!B20 + 'Income Projection'!F8*(1+0.015)/(0.085-0.015)/(1+0.085)^5 -Assumptions!B42</f>
        <v/>
      </c>
      <c r="C8" s="28">
        <f>DCF!B20 + 'Income Projection'!F8*(1+0.02)/(0.085-0.02)/(1+0.085)^5 -Assumptions!B42</f>
        <v/>
      </c>
      <c r="D8" s="29">
        <f>DCF!B20 + 'Income Projection'!F8*(1+0.025)/(0.085-0.025)/(1+0.085)^5 -Assumptions!B42</f>
        <v/>
      </c>
      <c r="E8" s="28">
        <f>DCF!B20 + 'Income Projection'!F8*(1+0.03)/(0.085-0.03)/(1+0.085)^5 -Assumptions!B42</f>
        <v/>
      </c>
      <c r="F8" s="28">
        <f>DCF!B20 + 'Income Projection'!F8*(1+0.035)/(0.085-0.035)/(1+0.085)^5 -Assumptions!B42</f>
        <v/>
      </c>
    </row>
    <row r="9">
      <c r="A9" s="27" t="n">
        <v>0.09</v>
      </c>
      <c r="B9" s="28">
        <f>DCF!B20 + 'Income Projection'!F8*(1+0.015)/(0.09-0.015)/(1+0.09)^5 -Assumptions!B42</f>
        <v/>
      </c>
      <c r="C9" s="28">
        <f>DCF!B20 + 'Income Projection'!F8*(1+0.02)/(0.09-0.02)/(1+0.09)^5 -Assumptions!B42</f>
        <v/>
      </c>
      <c r="D9" s="28">
        <f>DCF!B20 + 'Income Projection'!F8*(1+0.025)/(0.09-0.025)/(1+0.09)^5 -Assumptions!B42</f>
        <v/>
      </c>
      <c r="E9" s="28">
        <f>DCF!B20 + 'Income Projection'!F8*(1+0.03)/(0.09-0.03)/(1+0.09)^5 -Assumptions!B42</f>
        <v/>
      </c>
      <c r="F9" s="28">
        <f>DCF!B20 + 'Income Projection'!F8*(1+0.035)/(0.09-0.035)/(1+0.09)^5 -Assumptions!B42</f>
        <v/>
      </c>
    </row>
    <row r="10">
      <c r="A10" s="27" t="n">
        <v>0.095</v>
      </c>
      <c r="B10" s="28">
        <f>DCF!B20 + 'Income Projection'!F8*(1+0.015)/(0.095-0.015)/(1+0.095)^5 -Assumptions!B42</f>
        <v/>
      </c>
      <c r="C10" s="28">
        <f>DCF!B20 + 'Income Projection'!F8*(1+0.02)/(0.095-0.02)/(1+0.095)^5 -Assumptions!B42</f>
        <v/>
      </c>
      <c r="D10" s="28">
        <f>DCF!B20 + 'Income Projection'!F8*(1+0.025)/(0.095-0.025)/(1+0.095)^5 -Assumptions!B42</f>
        <v/>
      </c>
      <c r="E10" s="28">
        <f>DCF!B20 + 'Income Projection'!F8*(1+0.03)/(0.095-0.03)/(1+0.095)^5 -Assumptions!B42</f>
        <v/>
      </c>
      <c r="F10" s="28">
        <f>DCF!B20 + 'Income Projection'!F8*(1+0.035)/(0.095-0.035)/(1+0.095)^5 -Assumptions!B42</f>
        <v/>
      </c>
    </row>
    <row r="11">
      <c r="A11" s="27" t="n">
        <v>0.1</v>
      </c>
      <c r="B11" s="28">
        <f>DCF!B20 + 'Income Projection'!F8*(1+0.015)/(0.1-0.015)/(1+0.1)^5 -Assumptions!B42</f>
        <v/>
      </c>
      <c r="C11" s="28">
        <f>DCF!B20 + 'Income Projection'!F8*(1+0.02)/(0.1-0.02)/(1+0.1)^5 -Assumptions!B42</f>
        <v/>
      </c>
      <c r="D11" s="28">
        <f>DCF!B20 + 'Income Projection'!F8*(1+0.025)/(0.1-0.025)/(1+0.1)^5 -Assumptions!B42</f>
        <v/>
      </c>
      <c r="E11" s="28">
        <f>DCF!B20 + 'Income Projection'!F8*(1+0.03)/(0.1-0.03)/(1+0.1)^5 -Assumptions!B42</f>
        <v/>
      </c>
      <c r="F11" s="28">
        <f>DCF!B20 + 'Income Projection'!F8*(1+0.035)/(0.1-0.035)/(1+0.1)^5 -Assumptions!B42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CC71"/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0" t="inlineStr">
        <is>
          <t>COMPARABLE COMPANY ANALYSIS — TRADING MULTIPLES</t>
        </is>
      </c>
    </row>
    <row r="3">
      <c r="A3" s="11" t="inlineStr">
        <is>
          <t>Company</t>
        </is>
      </c>
      <c r="B3" s="11" t="inlineStr">
        <is>
          <t>Market Cap</t>
        </is>
      </c>
      <c r="C3" s="11" t="inlineStr">
        <is>
          <t>Net Debt</t>
        </is>
      </c>
      <c r="D3" s="11" t="inlineStr">
        <is>
          <t>EV</t>
        </is>
      </c>
      <c r="E3" s="11" t="inlineStr">
        <is>
          <t>Revenue</t>
        </is>
      </c>
      <c r="F3" s="11" t="inlineStr">
        <is>
          <t>EBITDA</t>
        </is>
      </c>
      <c r="G3" s="11" t="inlineStr">
        <is>
          <t>EV/Revenue</t>
        </is>
      </c>
      <c r="H3" s="11" t="inlineStr">
        <is>
          <t>EV/EBITDA</t>
        </is>
      </c>
      <c r="I3" s="11" t="inlineStr">
        <is>
          <t>P/E</t>
        </is>
      </c>
    </row>
    <row r="4">
      <c r="A4" s="4" t="inlineStr">
        <is>
          <t>Alpha Tech</t>
        </is>
      </c>
      <c r="B4" s="30" t="n">
        <v>42000</v>
      </c>
      <c r="C4" s="30" t="n">
        <v>2500</v>
      </c>
      <c r="D4" s="31">
        <f>B4+C4</f>
        <v/>
      </c>
      <c r="E4" s="30" t="n">
        <v>12600</v>
      </c>
      <c r="F4" s="30" t="n">
        <v>3150</v>
      </c>
      <c r="G4" s="31">
        <f>D4/E4</f>
        <v/>
      </c>
      <c r="H4" s="31">
        <f>D4/F4</f>
        <v/>
      </c>
      <c r="I4" s="4" t="n"/>
    </row>
    <row r="5">
      <c r="A5" s="4" t="inlineStr">
        <is>
          <t>Beta Systems</t>
        </is>
      </c>
      <c r="B5" s="30" t="n">
        <v>28000</v>
      </c>
      <c r="C5" s="30" t="n">
        <v>1200</v>
      </c>
      <c r="D5" s="31">
        <f>B5+C5</f>
        <v/>
      </c>
      <c r="E5" s="30" t="n">
        <v>7800</v>
      </c>
      <c r="F5" s="30" t="n">
        <v>1872</v>
      </c>
      <c r="G5" s="31">
        <f>D5/E5</f>
        <v/>
      </c>
      <c r="H5" s="31">
        <f>D5/F5</f>
        <v/>
      </c>
      <c r="I5" s="4" t="n"/>
    </row>
    <row r="6">
      <c r="A6" s="4" t="inlineStr">
        <is>
          <t>Gamma Corp</t>
        </is>
      </c>
      <c r="B6" s="30" t="n">
        <v>65000</v>
      </c>
      <c r="C6" s="30" t="n">
        <v>4100</v>
      </c>
      <c r="D6" s="31">
        <f>B6+C6</f>
        <v/>
      </c>
      <c r="E6" s="30" t="n">
        <v>18200</v>
      </c>
      <c r="F6" s="30" t="n">
        <v>4914</v>
      </c>
      <c r="G6" s="31">
        <f>D6/E6</f>
        <v/>
      </c>
      <c r="H6" s="31">
        <f>D6/F6</f>
        <v/>
      </c>
      <c r="I6" s="4" t="n"/>
    </row>
    <row r="7">
      <c r="A7" s="4" t="inlineStr">
        <is>
          <t>Delta Inc</t>
        </is>
      </c>
      <c r="B7" s="30" t="n">
        <v>19500</v>
      </c>
      <c r="C7" s="30" t="n">
        <v>800</v>
      </c>
      <c r="D7" s="31">
        <f>B7+C7</f>
        <v/>
      </c>
      <c r="E7" s="30" t="n">
        <v>5400</v>
      </c>
      <c r="F7" s="30" t="n">
        <v>1188</v>
      </c>
      <c r="G7" s="31">
        <f>D7/E7</f>
        <v/>
      </c>
      <c r="H7" s="31">
        <f>D7/F7</f>
        <v/>
      </c>
      <c r="I7" s="4" t="n"/>
    </row>
    <row r="8">
      <c r="A8" s="4" t="inlineStr">
        <is>
          <t>Epsilon Ltd</t>
        </is>
      </c>
      <c r="B8" s="30" t="n">
        <v>35000</v>
      </c>
      <c r="C8" s="30" t="n">
        <v>2000</v>
      </c>
      <c r="D8" s="31">
        <f>B8+C8</f>
        <v/>
      </c>
      <c r="E8" s="30" t="n">
        <v>10500</v>
      </c>
      <c r="F8" s="30" t="n">
        <v>2625</v>
      </c>
      <c r="G8" s="31">
        <f>D8/E8</f>
        <v/>
      </c>
      <c r="H8" s="31">
        <f>D8/F8</f>
        <v/>
      </c>
      <c r="I8" s="4" t="n"/>
    </row>
    <row r="10">
      <c r="A10" s="32" t="inlineStr">
        <is>
          <t>Mean</t>
        </is>
      </c>
      <c r="G10" s="33">
        <f>AVERAGE(G4:G8)</f>
        <v/>
      </c>
      <c r="H10" s="33">
        <f>AVERAGE(H4:H8)</f>
        <v/>
      </c>
    </row>
    <row r="11">
      <c r="A11" s="32" t="inlineStr">
        <is>
          <t>Median</t>
        </is>
      </c>
      <c r="G11" s="33">
        <f>MEDIAN(G4:G8)</f>
        <v/>
      </c>
      <c r="H11" s="33">
        <f>MEDIAN(H4:H8)</f>
        <v/>
      </c>
    </row>
    <row r="12">
      <c r="A12" s="32" t="inlineStr">
        <is>
          <t>25th Pct</t>
        </is>
      </c>
      <c r="G12" s="33">
        <f>PERCENTILE(G4:G8,0.25)</f>
        <v/>
      </c>
      <c r="H12" s="33">
        <f>PERCENTILE(H4:H8,0.25)</f>
        <v/>
      </c>
    </row>
    <row r="13">
      <c r="A13" s="32" t="inlineStr">
        <is>
          <t>75th Pct</t>
        </is>
      </c>
      <c r="G13" s="33">
        <f>PERCENTILE(G4:G8,0.75)</f>
        <v/>
      </c>
      <c r="H13" s="33">
        <f>PERCENTILE(H4:H8,0.75)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2026-04-27T06:23:21Z</dcterms:created>
  <dcterms:modified xmlns:dcterms="http://purl.org/dc/terms/" xmlns:xsi="http://www.w3.org/2001/XMLSchema-instance" xsi:type="dcterms:W3CDTF">2026-04-27T06:23:21Z</dcterms:modified>
</cp:coreProperties>
</file>